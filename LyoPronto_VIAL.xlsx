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hilipje\Desktop\_Agenda\202507_Monatsagenda\SISLI_Themen\"/>
    </mc:Choice>
  </mc:AlternateContent>
  <xr:revisionPtr revIDLastSave="0" documentId="13_ncr:1_{BDA15B85-430D-443A-A53E-827CD19D63CA}" xr6:coauthVersionLast="47" xr6:coauthVersionMax="47" xr10:uidLastSave="{00000000-0000-0000-0000-000000000000}"/>
  <bookViews>
    <workbookView xWindow="31740" yWindow="1935" windowWidth="21600" windowHeight="12735" xr2:uid="{00000000-000D-0000-FFFF-FFFF00000000}"/>
  </bookViews>
  <sheets>
    <sheet name="K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M13" i="1"/>
  <c r="I13" i="1"/>
  <c r="H13" i="1"/>
  <c r="G13" i="1"/>
  <c r="B22" i="1"/>
  <c r="D7" i="1" s="1"/>
  <c r="B23" i="1"/>
  <c r="H6" i="1" s="1"/>
  <c r="B25" i="1"/>
  <c r="B26" i="1"/>
  <c r="E8" i="1"/>
  <c r="E7" i="1"/>
  <c r="L12" i="1"/>
  <c r="M12" i="1"/>
  <c r="M8" i="1"/>
  <c r="M9" i="1"/>
  <c r="M10" i="1"/>
  <c r="M7" i="1"/>
  <c r="L7" i="1"/>
  <c r="K10" i="1"/>
  <c r="L10" i="1"/>
  <c r="K9" i="1"/>
  <c r="L9" i="1" s="1"/>
  <c r="K8" i="1"/>
  <c r="L8" i="1"/>
  <c r="H5" i="1"/>
  <c r="G6" i="1"/>
  <c r="H3" i="1"/>
  <c r="G5" i="1" l="1"/>
  <c r="H2" i="1"/>
  <c r="D11" i="1"/>
  <c r="H4" i="1"/>
  <c r="G2" i="1"/>
  <c r="D9" i="1"/>
  <c r="E12" i="1"/>
  <c r="G4" i="1"/>
  <c r="G3" i="1"/>
  <c r="D12" i="1"/>
  <c r="E9" i="1"/>
  <c r="E10" i="1"/>
  <c r="D10" i="1"/>
  <c r="E11" i="1"/>
  <c r="D8" i="1"/>
  <c r="B24" i="1"/>
  <c r="F11" i="1" l="1"/>
  <c r="I5" i="1"/>
  <c r="F12" i="1"/>
  <c r="I3" i="1"/>
  <c r="F9" i="1"/>
  <c r="F10" i="1"/>
  <c r="I2" i="1"/>
  <c r="I4" i="1"/>
  <c r="F7" i="1"/>
  <c r="F8" i="1"/>
  <c r="I6" i="1"/>
</calcChain>
</file>

<file path=xl/sharedStrings.xml><?xml version="1.0" encoding="utf-8"?>
<sst xmlns="http://schemas.openxmlformats.org/spreadsheetml/2006/main" count="69" uniqueCount="48">
  <si>
    <t>Vial</t>
  </si>
  <si>
    <t>Quelle</t>
  </si>
  <si>
    <t>da [mm]</t>
  </si>
  <si>
    <t>s [mm]</t>
  </si>
  <si>
    <t>Ai [cm2]</t>
  </si>
  <si>
    <t>Aa [cm2]</t>
  </si>
  <si>
    <t>MK</t>
  </si>
  <si>
    <t>50R</t>
  </si>
  <si>
    <r>
      <t>KC(SI) [W/m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/K]</t>
    </r>
  </si>
  <si>
    <r>
      <t>KD(SI) 
[Pa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</si>
  <si>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KP(SI)  [W/m2/K/Pa]</t>
  </si>
  <si>
    <r>
      <t>KC(I)  [cal/s/cm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/K]</t>
    </r>
  </si>
  <si>
    <r>
      <t>KD(I) [Torr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</si>
  <si>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KP(I)  [cal/s/cm2/K/Torr]</t>
  </si>
  <si>
    <t>SKSA19</t>
  </si>
  <si>
    <t>6R (Schott)</t>
  </si>
  <si>
    <t>GT</t>
  </si>
  <si>
    <t>k.A.</t>
  </si>
  <si>
    <t>REVO</t>
  </si>
  <si>
    <t>5800W</t>
  </si>
  <si>
    <t>HMLL</t>
  </si>
  <si>
    <t>Umrechnungsfaktoren</t>
  </si>
  <si>
    <t>SI</t>
  </si>
  <si>
    <t>KD</t>
  </si>
  <si>
    <t>KP</t>
  </si>
  <si>
    <t>5816W</t>
  </si>
  <si>
    <t>Tray_SS</t>
  </si>
  <si>
    <t>-</t>
  </si>
  <si>
    <t>Torr -&gt; Pa</t>
  </si>
  <si>
    <t>cal -&gt; J</t>
  </si>
  <si>
    <t>Wikipedia</t>
  </si>
  <si>
    <t>KC / kV</t>
  </si>
  <si>
    <t>h -&gt; s</t>
  </si>
  <si>
    <t>g -&gt; kg</t>
  </si>
  <si>
    <t xml:space="preserve">R0 </t>
  </si>
  <si>
    <t>A1</t>
  </si>
  <si>
    <t>cm -&gt; m</t>
  </si>
  <si>
    <t>A2</t>
  </si>
  <si>
    <t>Imperial</t>
  </si>
  <si>
    <t>SI -&gt; Imperial</t>
  </si>
  <si>
    <t>100H</t>
  </si>
  <si>
    <t>eigen</t>
  </si>
  <si>
    <t>2R_4R</t>
  </si>
  <si>
    <t>6R_8R</t>
  </si>
  <si>
    <t>10R_15R</t>
  </si>
  <si>
    <t>20R_25R_30R</t>
  </si>
  <si>
    <t>5ml(Schott)</t>
  </si>
  <si>
    <t>Sisli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</si>
</sst>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center" wrapText="1"/>
    </xf>
    <xf numFmtId="0" fontId="1" fillId="0" borderId="0" xfId="0" applyFont="1"/>
    <xf numFmtId="165" fontId="0" fillId="0" borderId="0" xfId="0" applyNumberFormat="1" applyFill="1"/>
    <xf numFmtId="0" fontId="0" fillId="2" borderId="0" xfId="0" applyFill="1"/>
    <xf numFmtId="165" fontId="0" fillId="2" borderId="0" xfId="0" applyNumberFormat="1" applyFill="1"/>
    <xf numFmtId="11" fontId="0" fillId="2" borderId="0" xfId="0" applyNumberFormat="1" applyFill="1"/>
    <xf numFmtId="164" fontId="0" fillId="0" borderId="0" xfId="0" applyNumberFormat="1" applyFill="1"/>
    <xf numFmtId="0" fontId="0" fillId="0" borderId="2" xfId="0" applyBorder="1" applyAlignment="1">
      <alignment horizontal="center"/>
    </xf>
    <xf numFmtId="164" fontId="0" fillId="0" borderId="2" xfId="0" applyNumberFormat="1" applyFill="1" applyBorder="1"/>
    <xf numFmtId="165" fontId="0" fillId="0" borderId="2" xfId="0" applyNumberFormat="1" applyFill="1" applyBorder="1"/>
    <xf numFmtId="11" fontId="0" fillId="2" borderId="2" xfId="0" applyNumberFormat="1" applyFill="1" applyBorder="1"/>
    <xf numFmtId="0" fontId="0" fillId="2" borderId="2" xfId="0" applyFill="1" applyBorder="1"/>
    <xf numFmtId="0" fontId="0" fillId="0" borderId="2" xfId="0" quotePrefix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11" fontId="0" fillId="0" borderId="2" xfId="0" applyNumberFormat="1" applyBorder="1" applyAlignment="1">
      <alignment horizontal="center"/>
    </xf>
    <xf numFmtId="0" fontId="0" fillId="0" borderId="0" xfId="0" applyFill="1" applyBorder="1"/>
    <xf numFmtId="11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166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1" max="1" width="15" customWidth="1"/>
    <col min="2" max="2" width="13.140625" style="3" customWidth="1"/>
    <col min="3" max="3" width="12" style="3" bestFit="1" customWidth="1"/>
    <col min="4" max="9" width="13.28515625" customWidth="1"/>
    <col min="11" max="11" width="9.42578125" bestFit="1" customWidth="1"/>
    <col min="14" max="14" width="3.42578125" customWidth="1"/>
  </cols>
  <sheetData>
    <row r="1" spans="1:13" ht="45" x14ac:dyDescent="0.25">
      <c r="A1" s="4" t="s">
        <v>0</v>
      </c>
      <c r="B1" s="4" t="s">
        <v>1</v>
      </c>
      <c r="C1" s="4" t="s">
        <v>16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2</v>
      </c>
      <c r="K1" s="4" t="s">
        <v>3</v>
      </c>
      <c r="L1" s="4" t="s">
        <v>4</v>
      </c>
      <c r="M1" s="4" t="s">
        <v>5</v>
      </c>
    </row>
    <row r="2" spans="1:13" x14ac:dyDescent="0.25">
      <c r="A2" s="3" t="s">
        <v>42</v>
      </c>
      <c r="B2" s="3" t="s">
        <v>6</v>
      </c>
      <c r="C2" s="3" t="s">
        <v>17</v>
      </c>
      <c r="D2" s="7">
        <v>6.9058999999999999</v>
      </c>
      <c r="E2" s="8">
        <v>3.0602000000000001E-2</v>
      </c>
      <c r="F2" s="7">
        <v>1.3475999999999999</v>
      </c>
      <c r="G2" s="2">
        <f>D2*$B$22</f>
        <v>1.6505497131931167E-4</v>
      </c>
      <c r="H2" s="1">
        <f>E2*$B$23</f>
        <v>4.079919844</v>
      </c>
      <c r="I2" s="2">
        <f>F2*$B$24</f>
        <v>4.2940900382409178E-3</v>
      </c>
      <c r="J2">
        <v>16</v>
      </c>
      <c r="K2">
        <v>1</v>
      </c>
      <c r="L2" s="1">
        <v>1.5393804002589984</v>
      </c>
      <c r="M2" s="1">
        <v>2.0106192982974678</v>
      </c>
    </row>
    <row r="3" spans="1:13" x14ac:dyDescent="0.25">
      <c r="A3" s="3" t="s">
        <v>43</v>
      </c>
      <c r="B3" s="3" t="s">
        <v>6</v>
      </c>
      <c r="C3" s="3" t="s">
        <v>17</v>
      </c>
      <c r="D3" s="7">
        <v>6.0518999999999998</v>
      </c>
      <c r="E3" s="8">
        <v>3.0953000000000001E-2</v>
      </c>
      <c r="F3" s="7">
        <v>1.3623000000000001</v>
      </c>
      <c r="G3" s="2">
        <f>D3*$B$22</f>
        <v>1.4464388145315487E-4</v>
      </c>
      <c r="H3" s="1">
        <f>E3*$B$23</f>
        <v>4.1267158660000005</v>
      </c>
      <c r="I3" s="2">
        <f>F3*$B$24</f>
        <v>4.3409311806883368E-3</v>
      </c>
      <c r="J3">
        <v>22</v>
      </c>
      <c r="K3">
        <v>1</v>
      </c>
      <c r="L3" s="1">
        <v>3.1415926535897931</v>
      </c>
      <c r="M3" s="1">
        <v>3.8013271108436504</v>
      </c>
    </row>
    <row r="4" spans="1:13" x14ac:dyDescent="0.25">
      <c r="A4" s="3" t="s">
        <v>44</v>
      </c>
      <c r="B4" s="3" t="s">
        <v>6</v>
      </c>
      <c r="C4" s="3" t="s">
        <v>17</v>
      </c>
      <c r="D4" s="7">
        <v>5.8838999999999997</v>
      </c>
      <c r="E4" s="8">
        <v>3.0911999999999999E-2</v>
      </c>
      <c r="F4" s="7">
        <v>1.3629</v>
      </c>
      <c r="G4" s="2">
        <f>D4*$B$22</f>
        <v>1.4062858508604204E-4</v>
      </c>
      <c r="H4" s="1">
        <f>E4*$B$23</f>
        <v>4.1212496639999996</v>
      </c>
      <c r="I4" s="2">
        <f>F4*$B$24</f>
        <v>4.3428430640535375E-3</v>
      </c>
      <c r="J4">
        <v>24</v>
      </c>
      <c r="K4">
        <v>1</v>
      </c>
      <c r="L4" s="1">
        <v>3.8013271108436504</v>
      </c>
      <c r="M4" s="1">
        <v>4.5238934211693023</v>
      </c>
    </row>
    <row r="5" spans="1:13" x14ac:dyDescent="0.25">
      <c r="A5" s="3" t="s">
        <v>45</v>
      </c>
      <c r="B5" s="3" t="s">
        <v>6</v>
      </c>
      <c r="C5" s="3" t="s">
        <v>17</v>
      </c>
      <c r="D5" s="7">
        <v>5.5472000000000001</v>
      </c>
      <c r="E5" s="8">
        <v>3.7397E-2</v>
      </c>
      <c r="F5" s="7">
        <v>1.3279000000000001</v>
      </c>
      <c r="G5" s="2">
        <f>D5*$B$22</f>
        <v>1.3258126195028682E-4</v>
      </c>
      <c r="H5" s="1">
        <f>E5*$B$23</f>
        <v>4.9858428340000005</v>
      </c>
      <c r="I5" s="2">
        <f>F5*$B$24</f>
        <v>4.2313165344168265E-3</v>
      </c>
      <c r="J5">
        <v>30</v>
      </c>
      <c r="K5">
        <v>1.2</v>
      </c>
      <c r="L5" s="1">
        <v>5.9828490494964033</v>
      </c>
      <c r="M5" s="1">
        <v>7.0685834705770345</v>
      </c>
    </row>
    <row r="6" spans="1:13" x14ac:dyDescent="0.25">
      <c r="A6" s="3" t="s">
        <v>7</v>
      </c>
      <c r="B6" s="3" t="s">
        <v>6</v>
      </c>
      <c r="C6" s="3" t="s">
        <v>17</v>
      </c>
      <c r="D6" s="7">
        <v>5.1932999999999998</v>
      </c>
      <c r="E6" s="8">
        <v>4.7556000000000001E-2</v>
      </c>
      <c r="F6" s="7">
        <v>1.2718</v>
      </c>
      <c r="G6" s="2">
        <f>D6*$B$22</f>
        <v>1.2412284894837476E-4</v>
      </c>
      <c r="H6" s="1">
        <f>E6*$B$23</f>
        <v>6.3402610319999999</v>
      </c>
      <c r="I6" s="2">
        <f>F6*$B$24</f>
        <v>4.0525554397705544E-3</v>
      </c>
      <c r="J6">
        <v>40</v>
      </c>
      <c r="K6">
        <v>1.5</v>
      </c>
      <c r="L6" s="1">
        <v>10.752100856911069</v>
      </c>
      <c r="M6" s="1">
        <v>12.566370614359172</v>
      </c>
    </row>
    <row r="7" spans="1:13" x14ac:dyDescent="0.25">
      <c r="A7" s="3" t="s">
        <v>15</v>
      </c>
      <c r="B7" s="3" t="s">
        <v>14</v>
      </c>
      <c r="C7" s="3" t="s">
        <v>18</v>
      </c>
      <c r="D7" s="10">
        <f t="shared" ref="D7:D12" si="0">G7/$B$22</f>
        <v>11.506</v>
      </c>
      <c r="E7" s="6">
        <f t="shared" ref="E7:E12" si="1">H7/$B$23</f>
        <v>3.4502932749283688E-3</v>
      </c>
      <c r="F7" s="10">
        <f t="shared" ref="F7:F12" si="2">I7/$B$24</f>
        <v>0.28024722101378619</v>
      </c>
      <c r="G7" s="8">
        <v>2.7500000000000002E-4</v>
      </c>
      <c r="H7" s="7">
        <v>0.46</v>
      </c>
      <c r="I7" s="8">
        <v>8.9300000000000002E-4</v>
      </c>
      <c r="J7">
        <v>22</v>
      </c>
      <c r="K7">
        <v>1</v>
      </c>
      <c r="L7" s="1">
        <f>PI()/4*(J7-2*K7)^2/100</f>
        <v>3.1415926535897931</v>
      </c>
      <c r="M7" s="1">
        <f>PI()/4*J7^2/100</f>
        <v>3.8013271108436499</v>
      </c>
    </row>
    <row r="8" spans="1:13" x14ac:dyDescent="0.25">
      <c r="A8" s="3" t="s">
        <v>19</v>
      </c>
      <c r="B8" s="3" t="s">
        <v>14</v>
      </c>
      <c r="C8" s="3" t="s">
        <v>20</v>
      </c>
      <c r="D8" s="10">
        <f t="shared" si="0"/>
        <v>11.045760000000001</v>
      </c>
      <c r="E8" s="6">
        <f t="shared" si="1"/>
        <v>2.7302320697259269E-2</v>
      </c>
      <c r="F8" s="10">
        <f t="shared" si="2"/>
        <v>1.0419045618877605</v>
      </c>
      <c r="G8" s="9">
        <v>2.6400000000000002E-4</v>
      </c>
      <c r="H8" s="7">
        <v>3.64</v>
      </c>
      <c r="I8" s="9">
        <v>3.32E-3</v>
      </c>
      <c r="J8">
        <v>24.5</v>
      </c>
      <c r="K8">
        <f>(J8-22)/2</f>
        <v>1.25</v>
      </c>
      <c r="L8" s="1">
        <f t="shared" ref="L8:L13" si="3">PI()/4*(J8-2*K8)^2/100</f>
        <v>3.8013271108436499</v>
      </c>
      <c r="M8" s="1">
        <f t="shared" ref="M8:M13" si="4">PI()/4*J8^2/100</f>
        <v>4.7143524757931834</v>
      </c>
    </row>
    <row r="9" spans="1:13" x14ac:dyDescent="0.25">
      <c r="A9" s="3" t="s">
        <v>25</v>
      </c>
      <c r="B9" s="3" t="s">
        <v>14</v>
      </c>
      <c r="C9" s="3" t="s">
        <v>20</v>
      </c>
      <c r="D9" s="10">
        <f t="shared" si="0"/>
        <v>8.4935200000000002</v>
      </c>
      <c r="E9" s="6">
        <f t="shared" si="1"/>
        <v>2.9777531090142664E-2</v>
      </c>
      <c r="F9" s="10">
        <f t="shared" si="2"/>
        <v>1.0419045618877605</v>
      </c>
      <c r="G9" s="9">
        <v>2.03E-4</v>
      </c>
      <c r="H9" s="7">
        <v>3.97</v>
      </c>
      <c r="I9" s="9">
        <v>3.32E-3</v>
      </c>
      <c r="J9">
        <v>29.5</v>
      </c>
      <c r="K9">
        <f>(J9-27)/2</f>
        <v>1.25</v>
      </c>
      <c r="L9" s="1">
        <f t="shared" si="3"/>
        <v>5.725552611167398</v>
      </c>
      <c r="M9" s="1">
        <f t="shared" si="4"/>
        <v>6.8349275169662942</v>
      </c>
    </row>
    <row r="10" spans="1:13" x14ac:dyDescent="0.25">
      <c r="A10" s="3">
        <v>5303</v>
      </c>
      <c r="B10" s="3" t="s">
        <v>14</v>
      </c>
      <c r="C10" s="3" t="s">
        <v>20</v>
      </c>
      <c r="D10" s="10">
        <f t="shared" si="0"/>
        <v>6.35968</v>
      </c>
      <c r="E10" s="6">
        <f t="shared" si="1"/>
        <v>5.2279443752718979E-2</v>
      </c>
      <c r="F10" s="10">
        <f t="shared" si="2"/>
        <v>1.0419045618877605</v>
      </c>
      <c r="G10" s="9">
        <v>1.5200000000000001E-4</v>
      </c>
      <c r="H10" s="7">
        <v>6.97</v>
      </c>
      <c r="I10" s="9">
        <v>3.32E-3</v>
      </c>
      <c r="J10">
        <v>46.8</v>
      </c>
      <c r="K10">
        <f>(J10-42.7)/2</f>
        <v>2.0499999999999972</v>
      </c>
      <c r="L10" s="1">
        <f t="shared" si="3"/>
        <v>14.320086173409337</v>
      </c>
      <c r="M10" s="1">
        <f t="shared" si="4"/>
        <v>17.202104733996268</v>
      </c>
    </row>
    <row r="11" spans="1:13" x14ac:dyDescent="0.25">
      <c r="A11" s="11" t="s">
        <v>26</v>
      </c>
      <c r="B11" s="11" t="s">
        <v>14</v>
      </c>
      <c r="C11" s="11" t="s">
        <v>17</v>
      </c>
      <c r="D11" s="12">
        <f t="shared" si="0"/>
        <v>2.5104000000000002</v>
      </c>
      <c r="E11" s="13">
        <f t="shared" si="1"/>
        <v>0.20251721396318687</v>
      </c>
      <c r="F11" s="12">
        <f t="shared" si="2"/>
        <v>2.0681177900121512</v>
      </c>
      <c r="G11" s="14">
        <v>6.0000000000000002E-5</v>
      </c>
      <c r="H11" s="15">
        <v>27</v>
      </c>
      <c r="I11" s="14">
        <v>6.5900000000000004E-3</v>
      </c>
      <c r="J11" s="16" t="s">
        <v>27</v>
      </c>
      <c r="K11" s="16" t="s">
        <v>27</v>
      </c>
      <c r="L11" s="16" t="s">
        <v>27</v>
      </c>
      <c r="M11" s="16" t="s">
        <v>27</v>
      </c>
    </row>
    <row r="12" spans="1:13" x14ac:dyDescent="0.25">
      <c r="A12" s="31" t="s">
        <v>40</v>
      </c>
      <c r="B12" s="3" t="s">
        <v>41</v>
      </c>
      <c r="C12" s="3" t="s">
        <v>17</v>
      </c>
      <c r="D12" s="10">
        <f t="shared" si="0"/>
        <v>6.35968</v>
      </c>
      <c r="E12" s="6">
        <f t="shared" si="1"/>
        <v>5.2279443752718979E-2</v>
      </c>
      <c r="F12" s="10">
        <f t="shared" si="2"/>
        <v>1.0419045618877605</v>
      </c>
      <c r="G12" s="9">
        <v>1.5200000000000001E-4</v>
      </c>
      <c r="H12" s="7">
        <v>6.97</v>
      </c>
      <c r="I12" s="9">
        <v>3.32E-3</v>
      </c>
      <c r="J12" s="32">
        <v>52.4</v>
      </c>
      <c r="K12" s="32">
        <v>2.0499999999999998</v>
      </c>
      <c r="L12" s="33">
        <f t="shared" si="3"/>
        <v>18.322475214082729</v>
      </c>
      <c r="M12" s="33">
        <f t="shared" si="4"/>
        <v>21.565148611301776</v>
      </c>
    </row>
    <row r="13" spans="1:13" x14ac:dyDescent="0.25">
      <c r="A13" s="31" t="s">
        <v>46</v>
      </c>
      <c r="B13" s="3" t="s">
        <v>47</v>
      </c>
      <c r="D13" s="7">
        <v>6.0518999999999998</v>
      </c>
      <c r="E13" s="8">
        <v>3.0953000000000001E-2</v>
      </c>
      <c r="F13" s="7">
        <v>1.3623000000000001</v>
      </c>
      <c r="G13" s="2">
        <f>D13*$B$22</f>
        <v>1.4464388145315487E-4</v>
      </c>
      <c r="H13" s="1">
        <f>E13*$B$23</f>
        <v>4.1267158660000005</v>
      </c>
      <c r="I13" s="2">
        <f>F13*$B$24</f>
        <v>4.3409311806883368E-3</v>
      </c>
      <c r="J13" s="32">
        <v>17.5</v>
      </c>
      <c r="K13" s="32">
        <v>0.8</v>
      </c>
      <c r="L13" s="33">
        <f t="shared" si="3"/>
        <v>1.9855650968850889</v>
      </c>
      <c r="M13" s="33">
        <f t="shared" si="4"/>
        <v>2.4052818754046852</v>
      </c>
    </row>
    <row r="15" spans="1:13" x14ac:dyDescent="0.25">
      <c r="A15" s="5" t="s">
        <v>21</v>
      </c>
      <c r="L15" s="32"/>
    </row>
    <row r="16" spans="1:13" x14ac:dyDescent="0.25">
      <c r="A16" s="17" t="s">
        <v>39</v>
      </c>
      <c r="B16" s="18" t="s">
        <v>38</v>
      </c>
      <c r="C16" s="18" t="s">
        <v>22</v>
      </c>
      <c r="D16" s="17" t="s">
        <v>1</v>
      </c>
    </row>
    <row r="17" spans="1:4" x14ac:dyDescent="0.25">
      <c r="A17" s="19" t="s">
        <v>28</v>
      </c>
      <c r="B17" s="20">
        <v>1</v>
      </c>
      <c r="C17" s="20">
        <v>133.322</v>
      </c>
      <c r="D17" s="20" t="s">
        <v>30</v>
      </c>
    </row>
    <row r="18" spans="1:4" x14ac:dyDescent="0.25">
      <c r="A18" s="21" t="s">
        <v>29</v>
      </c>
      <c r="B18" s="22">
        <v>1</v>
      </c>
      <c r="C18" s="22">
        <v>4.1840000000000002</v>
      </c>
      <c r="D18" s="22" t="s">
        <v>30</v>
      </c>
    </row>
    <row r="19" spans="1:4" x14ac:dyDescent="0.25">
      <c r="A19" s="21" t="s">
        <v>32</v>
      </c>
      <c r="B19" s="22">
        <v>1</v>
      </c>
      <c r="C19" s="22">
        <v>3600</v>
      </c>
      <c r="D19" s="21"/>
    </row>
    <row r="20" spans="1:4" x14ac:dyDescent="0.25">
      <c r="A20" s="25" t="s">
        <v>33</v>
      </c>
      <c r="B20" s="22">
        <v>1</v>
      </c>
      <c r="C20" s="26">
        <v>1E-3</v>
      </c>
      <c r="D20" s="21"/>
    </row>
    <row r="21" spans="1:4" x14ac:dyDescent="0.25">
      <c r="A21" s="25" t="s">
        <v>36</v>
      </c>
      <c r="B21" s="22">
        <v>1</v>
      </c>
      <c r="C21" s="26">
        <v>0.01</v>
      </c>
      <c r="D21" s="21"/>
    </row>
    <row r="22" spans="1:4" x14ac:dyDescent="0.25">
      <c r="A22" s="19" t="s">
        <v>31</v>
      </c>
      <c r="B22" s="20">
        <f>1/C18/100^2</f>
        <v>2.390057361376673E-5</v>
      </c>
      <c r="C22" s="20">
        <v>1</v>
      </c>
      <c r="D22" s="19"/>
    </row>
    <row r="23" spans="1:4" x14ac:dyDescent="0.25">
      <c r="A23" s="21" t="s">
        <v>23</v>
      </c>
      <c r="B23" s="22">
        <f>C17</f>
        <v>133.322</v>
      </c>
      <c r="C23" s="22">
        <v>1</v>
      </c>
      <c r="D23" s="21"/>
    </row>
    <row r="24" spans="1:4" x14ac:dyDescent="0.25">
      <c r="A24" s="23" t="s">
        <v>24</v>
      </c>
      <c r="B24" s="24">
        <f>B22*C17</f>
        <v>3.1864722753346081E-3</v>
      </c>
      <c r="C24" s="11">
        <v>1</v>
      </c>
      <c r="D24" s="23"/>
    </row>
    <row r="25" spans="1:4" x14ac:dyDescent="0.25">
      <c r="A25" s="29" t="s">
        <v>34</v>
      </c>
      <c r="B25" s="30">
        <f>C17*C19*C21^2/C20</f>
        <v>47995.920000000006</v>
      </c>
      <c r="C25" s="20">
        <v>1</v>
      </c>
      <c r="D25" s="19"/>
    </row>
    <row r="26" spans="1:4" x14ac:dyDescent="0.25">
      <c r="A26" s="21" t="s">
        <v>35</v>
      </c>
      <c r="B26" s="27">
        <f>C17*C19*C21/C20</f>
        <v>4799592</v>
      </c>
      <c r="C26" s="22">
        <v>1</v>
      </c>
      <c r="D26" s="21"/>
    </row>
    <row r="27" spans="1:4" x14ac:dyDescent="0.25">
      <c r="A27" s="28" t="s">
        <v>37</v>
      </c>
      <c r="B27" s="11">
        <v>100</v>
      </c>
      <c r="C27" s="11">
        <v>1</v>
      </c>
      <c r="D27" s="23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</dc:creator>
  <cp:lastModifiedBy>Philipp Jens</cp:lastModifiedBy>
  <dcterms:created xsi:type="dcterms:W3CDTF">2015-06-05T18:17:20Z</dcterms:created>
  <dcterms:modified xsi:type="dcterms:W3CDTF">2025-07-15T07:50:47Z</dcterms:modified>
</cp:coreProperties>
</file>